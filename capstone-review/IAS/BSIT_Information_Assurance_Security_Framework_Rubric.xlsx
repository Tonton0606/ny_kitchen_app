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5b17746c7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 Rubric" sheetId="1" r:id="Re0c9ccfc3ae0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789c1f8e74cea" /><Relationship Type="http://schemas.openxmlformats.org/officeDocument/2006/relationships/theme" Target="/xl/theme/theme1.xml" Id="R46b23950d347401e" /><Relationship Type="http://schemas.openxmlformats.org/officeDocument/2006/relationships/sharedStrings" Target="/xl/sharedStrings.xml" Id="R1735b7b86e0e4b67" /><Relationship Type="http://schemas.openxmlformats.org/officeDocument/2006/relationships/worksheet" Target="/xl/worksheets/sheet1.xml" Id="Re0c9ccfc3ae0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5" hidden="0" customWidth="1"/>
    <x:col min="3" max="3" width="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9" hidden="0" customWidth="1"/>
  </x:cols>
  <x:sheetData>
    <x:row r="1" ht="28" customHeight="1">
      <x:c r="A1" s="59" t="str">
        <x:v>BS Information Technology – Information Assurance and Security</x:v>
      </x:c>
      <x:c r="B1" s="59"/>
      <x:c r="C1" s="59"/>
      <x:c r="D1" s="59"/>
      <x:c r="E1" s="59"/>
      <x:c r="F1" s="59"/>
      <x:c r="G1" s="59"/>
      <x:c r="H1" s="59"/>
    </x:row>
    <x:row r="2" ht="28" customHeight="1">
      <x:c r="A2" s="60" t="str">
        <x:v>Capstone Information Assurance and Security Framework-Aligned Readiness Rubric</x:v>
      </x:c>
      <x:c r="B2" s="60"/>
      <x:c r="C2" s="60"/>
      <x:c r="D2" s="60"/>
      <x:c r="E2" s="60"/>
      <x:c r="F2" s="60"/>
      <x:c r="G2" s="60"/>
      <x:c r="H2" s="60"/>
    </x:row>
    <x:row r="3" ht="28" customHeight="1">
      <x:c r="A3" s="22" t="str">
        <x:v>Purpose: Check whether the BSIT capstone has an appropriate security, privacy, risk, and assurance design using security frameworks that fit the type of system being proposed.</x:v>
      </x:c>
      <x:c r="B3" s="22"/>
      <x:c r="C3" s="22"/>
      <x:c r="D3" s="22"/>
      <x:c r="E3" s="22"/>
      <x:c r="F3" s="22"/>
      <x:c r="G3" s="22"/>
      <x:c r="H3" s="22"/>
    </x:row>
    <x:row r="4">
      <x:c r="A4" s="38"/>
      <x:c r="B4" s="38"/>
      <x:c r="C4" s="38"/>
      <x:c r="D4" s="38"/>
      <x:c r="E4" s="38"/>
      <x:c r="F4" s="38"/>
      <x:c r="G4" s="38"/>
      <x:c r="H4" s="38"/>
    </x:row>
    <x:row r="5" ht="35" customHeight="1">
      <x:c r="A5" s="32" t="str">
        <x:v>Area</x:v>
      </x:c>
      <x:c r="B5" s="32" t="str">
        <x:v>Criterion</x:v>
      </x:c>
      <x:c r="C5" s="32" t="str">
        <x:v>Max</x:v>
      </x:c>
      <x:c r="D5" s="32" t="str">
        <x:v>Fully Demonstrated</x:v>
      </x:c>
      <x:c r="E5" s="32" t="str">
        <x:v>Acceptable</x:v>
      </x:c>
      <x:c r="F5" s="32" t="str">
        <x:v>Needs Improvement</x:v>
      </x:c>
      <x:c r="G5" s="32" t="str">
        <x:v>Not Demonstrated</x:v>
      </x:c>
      <x:c r="H5" s="32" t="str">
        <x:v>Score</x:v>
      </x:c>
    </x:row>
    <x:row r="6" ht="102" customHeight="1">
      <x:c r="A6" s="50" t="str">
        <x:v>I. Security Context and Assets (15)</x:v>
      </x:c>
      <x:c r="B6" s="50" t="str">
        <x:v>Security scope and system boundaries</x:v>
      </x:c>
      <x:c r="C6" s="51" t="n">
        <x:v>5</x:v>
      </x:c>
      <x:c r="D6" s="50" t="str">
        <x:v>☐ 5
The security scope, system boundary, users, devices, services, interfaces, and external connections are clearly identified.</x:v>
      </x:c>
      <x:c r="E6" s="50" t="str">
        <x:v>☐ 4
The scope is generally clear, with minor missing details.</x:v>
      </x:c>
      <x:c r="F6" s="50" t="str">
        <x:v>☐ 3
The major system parts are identified, but important boundaries or connections are still unclear.</x:v>
      </x:c>
      <x:c r="G6" s="50" t="str">
        <x:v>☐ 1
The proposal does not clearly establish the security scope or system boundary.</x:v>
      </x:c>
      <x:c r="H6" s="51" t="str"/>
    </x:row>
    <x:row r="7" ht="102" customHeight="1">
      <x:c r="A7" s="40" t="str"/>
      <x:c r="B7" s="40" t="str">
        <x:v>Information assets and critical components</x:v>
      </x:c>
      <x:c r="C7" s="42" t="n">
        <x:v>5</x:v>
      </x:c>
      <x:c r="D7" s="40" t="str">
        <x:v>☐ 5
Important data, accounts, devices, sensors, applications, databases, networks, and other critical assets are clearly identified and prioritized.</x:v>
      </x:c>
      <x:c r="E7" s="40" t="str">
        <x:v>☐ 4
Most important assets are identified, with minor gaps.</x:v>
      </x:c>
      <x:c r="F7" s="40" t="str">
        <x:v>☐ 3
Assets are listed but their importance or protection needs are not clearly established.</x:v>
      </x:c>
      <x:c r="G7" s="40" t="str">
        <x:v>☐ 1
Critical information assets or system components are not adequately identified.</x:v>
      </x:c>
      <x:c r="H7" s="44" t="str"/>
    </x:row>
    <x:row r="8" ht="102" customHeight="1">
      <x:c r="A8" s="40" t="str"/>
      <x:c r="B8" s="40" t="str">
        <x:v>Confidentiality, integrity, and availability requirements</x:v>
      </x:c>
      <x:c r="C8" s="42" t="n">
        <x:v>5</x:v>
      </x:c>
      <x:c r="D8" s="40" t="str">
        <x:v>☐ 5
The confidentiality, integrity, and availability requirements are clearly defined based on the capstone and its data or services.</x:v>
      </x:c>
      <x:c r="E8" s="40" t="str">
        <x:v>☐ 4
CIA requirements are generally appropriate, with minor gaps.</x:v>
      </x:c>
      <x:c r="F8" s="40" t="str">
        <x:v>☐ 3
CIA is considered but the required level of protection is not clearly defined.</x:v>
      </x:c>
      <x:c r="G8" s="40" t="str">
        <x:v>☐ 1
The proposal does not adequately establish confidentiality, integrity, and availability requirements.</x:v>
      </x:c>
      <x:c r="H8" s="44" t="str"/>
    </x:row>
    <x:row r="9" ht="102" customHeight="1">
      <x:c r="A9" s="50" t="str">
        <x:v>II. Risk, Threat, and Vulnerability Analysis (20)</x:v>
      </x:c>
      <x:c r="B9" s="50" t="str">
        <x:v>Threat identification based on applicable security framework</x:v>
      </x:c>
      <x:c r="C9" s="51" t="n">
        <x:v>5</x:v>
      </x:c>
      <x:c r="D9" s="50" t="str">
        <x:v>☐ 5
Relevant threats and attack scenarios are identified using a framework appropriate to the project type.</x:v>
      </x:c>
      <x:c r="E9" s="50" t="str">
        <x:v>☐ 4
Major threats are identified and generally aligned with an appropriate framework, with minor gaps.</x:v>
      </x:c>
      <x:c r="F9" s="50" t="str">
        <x:v>☐ 3
Some threats are identified, but the framework basis or coverage is incomplete.</x:v>
      </x:c>
      <x:c r="G9" s="50" t="str">
        <x:v>☐ 1
Threats are listed without a clear framework basis or important threats are missing.</x:v>
      </x:c>
      <x:c r="H9" s="51" t="str"/>
    </x:row>
    <x:row r="10" ht="102" customHeight="1">
      <x:c r="A10" s="40" t="str"/>
      <x:c r="B10" s="40" t="str">
        <x:v>Vulnerability and weakness analysis</x:v>
      </x:c>
      <x:c r="C10" s="42" t="n">
        <x:v>5</x:v>
      </x:c>
      <x:c r="D10" s="40" t="str">
        <x:v>☐ 5
Likely weaknesses are identified using appropriate references such as OWASP, CIS, NIST, or device-specific security guidance.</x:v>
      </x:c>
      <x:c r="E10" s="40" t="str">
        <x:v>☐ 4
The main weaknesses are identified using suitable guidance, with minor gaps.</x:v>
      </x:c>
      <x:c r="F10" s="40" t="str">
        <x:v>☐ 3
Weaknesses are identified but the assessment basis or coverage is incomplete.</x:v>
      </x:c>
      <x:c r="G10" s="40" t="str">
        <x:v>☐ 1
The proposal does not provide a usable vulnerability or weakness analysis.</x:v>
      </x:c>
      <x:c r="H10" s="44" t="str"/>
    </x:row>
    <x:row r="11" ht="102" customHeight="1">
      <x:c r="A11" s="40" t="str"/>
      <x:c r="B11" s="40" t="str">
        <x:v>Risk assessment and prioritization</x:v>
      </x:c>
      <x:c r="C11" s="42" t="n">
        <x:v>5</x:v>
      </x:c>
      <x:c r="D11" s="40" t="str">
        <x:v>☐ 5
Security risks are assessed using clear likelihood and impact criteria and are prioritized for treatment.</x:v>
      </x:c>
      <x:c r="E11" s="40" t="str">
        <x:v>☐ 4
Risk assessment is generally appropriate, with minor gaps in scoring or prioritization.</x:v>
      </x:c>
      <x:c r="F11" s="40" t="str">
        <x:v>☐ 3
Risks are identified but the basis for rating or prioritizing them is weak.</x:v>
      </x:c>
      <x:c r="G11" s="40" t="str">
        <x:v>☐ 1
The proposal does not provide a usable security risk assessment.</x:v>
      </x:c>
      <x:c r="H11" s="44" t="str"/>
    </x:row>
    <x:row r="12" ht="102" customHeight="1">
      <x:c r="A12" s="40" t="str"/>
      <x:c r="B12" s="40" t="str">
        <x:v>Project-type security framework alignment</x:v>
      </x:c>
      <x:c r="C12" s="42" t="n">
        <x:v>5</x:v>
      </x:c>
      <x:c r="D12" s="40" t="str">
        <x:v>☐ 5
The proposal selects and applies the framework appropriate to the system type: OWASP for web/API, OWASP IoT / ETSI EN 303 645 / NIST IoT guidance for IoT, OWASP MASVS for mobile, and NIST/CIS or other applicable guidance for infrastructure, cloud, or network projects.</x:v>
      </x:c>
      <x:c r="E12" s="40" t="str">
        <x:v>☐ 4
An appropriate project-specific framework is selected and generally applied, with minor gaps.</x:v>
      </x:c>
      <x:c r="F12" s="40" t="str">
        <x:v>☐ 3
A framework is identified but its use in the security design is limited or not clearly connected to the project.</x:v>
      </x:c>
      <x:c r="G12" s="40" t="str">
        <x:v>☐ 1
No appropriate security framework is selected for the type of system being proposed.</x:v>
      </x:c>
      <x:c r="H12" s="44" t="str"/>
    </x:row>
    <x:row r="13" ht="102" customHeight="1">
      <x:c r="A13" s="50" t="str">
        <x:v>III. Security Design and Controls (25)</x:v>
      </x:c>
      <x:c r="B13" s="50" t="str">
        <x:v>Identity, authentication, authorization, and access control</x:v>
      </x:c>
      <x:c r="C13" s="51" t="n">
        <x:v>5</x:v>
      </x:c>
      <x:c r="D13" s="50" t="str">
        <x:v>☐ 5
User and device identity, authentication, authorization, roles, and access restrictions are clearly defined and follow the applicable framework or security standard.</x:v>
      </x:c>
      <x:c r="E13" s="50" t="str">
        <x:v>☐ 4
Access controls are generally appropriate and framework-aligned, with minor gaps.</x:v>
      </x:c>
      <x:c r="F13" s="50" t="str">
        <x:v>☐ 3
Basic controls are proposed but important access rules, device identity, or framework requirements remain unclear.</x:v>
      </x:c>
      <x:c r="G13" s="50" t="str">
        <x:v>☐ 1
The proposal does not establish adequate identity and access controls.</x:v>
      </x:c>
      <x:c r="H13" s="51" t="str"/>
    </x:row>
    <x:row r="14" ht="102" customHeight="1">
      <x:c r="A14" s="40" t="str"/>
      <x:c r="B14" s="40" t="str">
        <x:v>Data protection, secrets, and secure communication</x:v>
      </x:c>
      <x:c r="C14" s="42" t="n">
        <x:v>5</x:v>
      </x:c>
      <x:c r="D14" s="40" t="str">
        <x:v>☐ 5
Data at rest and in transit, credentials, keys, tokens, and other secrets are protected using controls appropriate to the system and selected security framework.</x:v>
      </x:c>
      <x:c r="E14" s="40" t="str">
        <x:v>☐ 4
Data and secret protection are generally appropriate, with minor missing details.</x:v>
      </x:c>
      <x:c r="F14" s="40" t="str">
        <x:v>☐ 3
Protection is considered but important storage, transmission, credential, or key-handling controls remain unclear.</x:v>
      </x:c>
      <x:c r="G14" s="40" t="str">
        <x:v>☐ 1
The proposal does not adequately protect sensitive data, credentials, or communications.</x:v>
      </x:c>
      <x:c r="H14" s="44" t="str"/>
    </x:row>
    <x:row r="15" ht="102" customHeight="1">
      <x:c r="A15" s="40" t="str"/>
      <x:c r="B15" s="40" t="str">
        <x:v>Secure architecture, network, cloud, and device protection</x:v>
      </x:c>
      <x:c r="C15" s="42" t="n">
        <x:v>5</x:v>
      </x:c>
      <x:c r="D15" s="40" t="str">
        <x:v>☐ 5
The architecture uses appropriate security controls for network, cloud, endpoints, IoT devices, APIs, services, and segmentation based on the selected framework.</x:v>
      </x:c>
      <x:c r="E15" s="40" t="str">
        <x:v>☐ 4
The architecture is generally secure and framework-aligned, with minor control gaps.</x:v>
      </x:c>
      <x:c r="F15" s="40" t="str">
        <x:v>☐ 3
Some security controls are present but important architectural protections are missing or unclear.</x:v>
      </x:c>
      <x:c r="G15" s="40" t="str">
        <x:v>☐ 1
The proposed architecture does not provide adequate security protection.</x:v>
      </x:c>
      <x:c r="H15" s="44" t="str"/>
    </x:row>
    <x:row r="16" ht="102" customHeight="1">
      <x:c r="A16" s="40" t="str"/>
      <x:c r="B16" s="40" t="str">
        <x:v>Application / API / mobile / device security controls</x:v>
      </x:c>
      <x:c r="C16" s="42" t="n">
        <x:v>5</x:v>
      </x:c>
      <x:c r="D16" s="40" t="str">
        <x:v>☐ 5
The proposal applies controls appropriate to its platform, such as OWASP Top 10 / ASVS / API Security for web systems, MASVS for mobile, or IoT-specific controls for connected devices.</x:v>
      </x:c>
      <x:c r="E16" s="40" t="str">
        <x:v>☐ 4
The major platform-specific controls are present, with minor gaps.</x:v>
      </x:c>
      <x:c r="F16" s="40" t="str">
        <x:v>☐ 3
Basic platform security is considered but important framework controls are incomplete.</x:v>
      </x:c>
      <x:c r="G16" s="40" t="str">
        <x:v>☐ 1
The proposal does not adequately address platform-specific security risks.</x:v>
      </x:c>
      <x:c r="H16" s="44" t="str"/>
    </x:row>
    <x:row r="17" ht="102" customHeight="1">
      <x:c r="A17" s="40" t="str"/>
      <x:c r="B17" s="40" t="str">
        <x:v>Security controls mapped to identified risks</x:v>
      </x:c>
      <x:c r="C17" s="42" t="n">
        <x:v>5</x:v>
      </x:c>
      <x:c r="D17" s="40" t="str">
        <x:v>☐ 5
Each significant risk has a clear preventive, detective, corrective, or compensating control.</x:v>
      </x:c>
      <x:c r="E17" s="40" t="str">
        <x:v>☐ 4
Controls address most significant risks, with minor gaps.</x:v>
      </x:c>
      <x:c r="F17" s="40" t="str">
        <x:v>☐ 3
Controls are proposed but several are not clearly connected to the identified risks.</x:v>
      </x:c>
      <x:c r="G17" s="40" t="str">
        <x:v>☐ 1
The proposed controls do not adequately address the identified security risks.</x:v>
      </x:c>
      <x:c r="H17" s="44" t="str"/>
    </x:row>
    <x:row r="18" ht="102" customHeight="1">
      <x:c r="A18" s="50" t="str">
        <x:v>IV. Assurance, Testing, and Acceptance (20)</x:v>
      </x:c>
      <x:c r="B18" s="50" t="str">
        <x:v>Framework-based security testing and verification plan</x:v>
      </x:c>
      <x:c r="C18" s="51" t="n">
        <x:v>5</x:v>
      </x:c>
      <x:c r="D18" s="50" t="str">
        <x:v>☐ 5
The test plan checks the controls required by the selected framework using appropriate methods such as vulnerability testing, access testing, API testing, configuration review, network testing, mobile testing, or IoT/device testing.</x:v>
      </x:c>
      <x:c r="E18" s="50" t="str">
        <x:v>☐ 4
The testing plan is generally aligned with the selected framework, with minor gaps.</x:v>
      </x:c>
      <x:c r="F18" s="50" t="str">
        <x:v>☐ 3
Some security tests are identified but framework coverage or procedures are incomplete.</x:v>
      </x:c>
      <x:c r="G18" s="50" t="str">
        <x:v>☐ 1
The proposal does not provide an adequate framework-based security testing plan.</x:v>
      </x:c>
      <x:c r="H18" s="51" t="str"/>
    </x:row>
    <x:row r="19" ht="102" customHeight="1">
      <x:c r="A19" s="40" t="str"/>
      <x:c r="B19" s="40" t="str">
        <x:v>Security acceptance criteria and measurable results</x:v>
      </x:c>
      <x:c r="C19" s="42" t="n">
        <x:v>5</x:v>
      </x:c>
      <x:c r="D19" s="40" t="str">
        <x:v>☐ 5
Clear and measurable security acceptance criteria are defined from the selected framework, risk assessment, and project requirements.</x:v>
      </x:c>
      <x:c r="E19" s="40" t="str">
        <x:v>☐ 4
Acceptance criteria are generally appropriate, with minor gaps.</x:v>
      </x:c>
      <x:c r="F19" s="40" t="str">
        <x:v>☐ 3
Some criteria are provided but they are incomplete, vague, or not clearly tied to the framework.</x:v>
      </x:c>
      <x:c r="G19" s="40" t="str">
        <x:v>☐ 1
There is no clear basis for deciding whether the security results are acceptable.</x:v>
      </x:c>
      <x:c r="H19" s="44" t="str"/>
    </x:row>
    <x:row r="20" ht="102" customHeight="1">
      <x:c r="A20" s="40" t="str"/>
      <x:c r="B20" s="40" t="str">
        <x:v>Reliability, logging, monitoring, and auditability</x:v>
      </x:c>
      <x:c r="C20" s="42" t="n">
        <x:v>5</x:v>
      </x:c>
      <x:c r="D20" s="40" t="str">
        <x:v>☐ 5
The proposal provides appropriate logging, monitoring, audit trail, alerting, and reliability measures needed to detect and review security events.</x:v>
      </x:c>
      <x:c r="E20" s="40" t="str">
        <x:v>☐ 4
Monitoring and audit controls are generally appropriate, with minor gaps.</x:v>
      </x:c>
      <x:c r="F20" s="40" t="str">
        <x:v>☐ 3
Basic logging or monitoring is included but important audit or detection requirements are missing.</x:v>
      </x:c>
      <x:c r="G20" s="40" t="str">
        <x:v>☐ 1
The proposal does not provide adequate logging, monitoring, or auditability.</x:v>
      </x:c>
      <x:c r="H20" s="44" t="str"/>
    </x:row>
    <x:row r="21" ht="102" customHeight="1">
      <x:c r="A21" s="40" t="str"/>
      <x:c r="B21" s="40" t="str">
        <x:v>ISO/IEC 25010 security and framework compliance</x:v>
      </x:c>
      <x:c r="C21" s="42" t="n">
        <x:v>5</x:v>
      </x:c>
      <x:c r="D21" s="40" t="str">
        <x:v>☐ 5
Relevant ISO/IEC 25010 security characteristics and the selected project-specific security framework are clearly connected to the capstone evaluation.</x:v>
      </x:c>
      <x:c r="E21" s="40" t="str">
        <x:v>☐ 4
ISO/IEC 25010 and framework alignment are generally appropriate, with minor gaps.</x:v>
      </x:c>
      <x:c r="F21" s="40" t="str">
        <x:v>☐ 3
Standards or frameworks are mentioned but their use in evaluation is incomplete.</x:v>
      </x:c>
      <x:c r="G21" s="40" t="str">
        <x:v>☐ 1
The proposal does not establish a suitable standards- and framework-based security evaluation.</x:v>
      </x:c>
      <x:c r="H21" s="44" t="str"/>
    </x:row>
    <x:row r="22" ht="102" customHeight="1">
      <x:c r="A22" s="50" t="str">
        <x:v>V. Privacy, Governance, and Resilience (10)</x:v>
      </x:c>
      <x:c r="B22" s="50" t="str">
        <x:v>Privacy, data handling, and applicable compliance requirements</x:v>
      </x:c>
      <x:c r="C22" s="51" t="n">
        <x:v>5</x:v>
      </x:c>
      <x:c r="D22" s="50" t="str">
        <x:v>☐ 5
The proposal addresses privacy, consent, access, retention, disclosure, and data handling requirements, including applicable legal or organizational requirements.</x:v>
      </x:c>
      <x:c r="E22" s="50" t="str">
        <x:v>☐ 4
Privacy and data handling are generally appropriate, with minor gaps.</x:v>
      </x:c>
      <x:c r="F22" s="50" t="str">
        <x:v>☐ 3
Privacy is considered but important handling or compliance requirements are incomplete.</x:v>
      </x:c>
      <x:c r="G22" s="50" t="str">
        <x:v>☐ 1
The proposal does not adequately address privacy or responsible data handling.</x:v>
      </x:c>
      <x:c r="H22" s="51" t="str"/>
    </x:row>
    <x:row r="23" ht="102" customHeight="1">
      <x:c r="A23" s="40" t="str"/>
      <x:c r="B23" s="40" t="str">
        <x:v>Backup, recovery, incident response, and continuity</x:v>
      </x:c>
      <x:c r="C23" s="42" t="n">
        <x:v>5</x:v>
      </x:c>
      <x:c r="D23" s="40" t="str">
        <x:v>☐ 5
The proposal includes practical backup, recovery, incident handling, and continuity measures appropriate to the system.</x:v>
      </x:c>
      <x:c r="E23" s="40" t="str">
        <x:v>☐ 4
The resilience plan is generally appropriate, with minor gaps.</x:v>
      </x:c>
      <x:c r="F23" s="40" t="str">
        <x:v>☐ 3
Some recovery or incident measures are identified but the plan is incomplete.</x:v>
      </x:c>
      <x:c r="G23" s="40" t="str">
        <x:v>☐ 1
The proposal does not adequately address recovery, incident response, or continuity.</x:v>
      </x:c>
      <x:c r="H23" s="44" t="str"/>
    </x:row>
    <x:row r="24" ht="102" customHeight="1">
      <x:c r="A24" s="50" t="str">
        <x:v>VI. Security Readiness and Communication (10)</x:v>
      </x:c>
      <x:c r="B24" s="50" t="str">
        <x:v>Security documentation and control traceability</x:v>
      </x:c>
      <x:c r="C24" s="51" t="n">
        <x:v>5</x:v>
      </x:c>
      <x:c r="D24" s="50" t="str">
        <x:v>☐ 5
Security requirements, risks, selected framework controls, tests, and acceptance criteria are clearly documented and traceable.</x:v>
      </x:c>
      <x:c r="E24" s="50" t="str">
        <x:v>☐ 4
Documentation is generally complete, with minor traceability gaps.</x:v>
      </x:c>
      <x:c r="F24" s="50" t="str">
        <x:v>☐ 3
The major security elements are documented but their relationships are not always clear.</x:v>
      </x:c>
      <x:c r="G24" s="50" t="str">
        <x:v>☐ 1
Security documentation is incomplete or difficult to trace.</x:v>
      </x:c>
      <x:c r="H24" s="51" t="str"/>
    </x:row>
    <x:row r="25" ht="102" customHeight="1">
      <x:c r="A25" s="40" t="str"/>
      <x:c r="B25" s="40" t="str">
        <x:v>Overall security readiness of the capstone</x:v>
      </x:c>
      <x:c r="C25" s="42" t="n">
        <x:v>5</x:v>
      </x:c>
      <x:c r="D25" s="40" t="str">
        <x:v>☐ 5
The proposal has a workable security design, appropriate framework alignment, manageable risks, measurable controls, and a clear assurance plan ready for implementation.</x:v>
      </x:c>
      <x:c r="E25" s="40" t="str">
        <x:v>☐ 4
The proposal is generally security-ready but requires minor framework or control revisions.</x:v>
      </x:c>
      <x:c r="F25" s="40" t="str">
        <x:v>☐ 3
The proposal can proceed only after important security or framework gaps are addressed.</x:v>
      </x:c>
      <x:c r="G25" s="40" t="str">
        <x:v>☐ 1
Major security issues remain and the proposal is not yet ready for implementation.</x:v>
      </x:c>
      <x:c r="H25" s="44" t="str"/>
    </x:row>
    <x:row r="26">
      <x:c r="A26" s="38"/>
      <x:c r="B26" s="38"/>
      <x:c r="C26" s="38"/>
      <x:c r="D26" s="38"/>
      <x:c r="E26" s="38"/>
      <x:c r="F26" s="38"/>
      <x:c r="G26" s="38"/>
      <x:c r="H26" s="38"/>
    </x:row>
    <x:row r="27">
      <x:c r="A27" s="32" t="str">
        <x:v>SECURITY READINESS SUMMARY</x:v>
      </x:c>
      <x:c r="B27" s="32" t="str">
        <x:v>Maximum</x:v>
      </x:c>
      <x:c r="C27" s="32" t="str">
        <x:v>Score</x:v>
      </x:c>
      <x:c r="D27" s="38"/>
      <x:c r="E27" s="32" t="str">
        <x:v>CAPSTONE SECURITY READINESS</x:v>
      </x:c>
      <x:c r="F27" s="32"/>
      <x:c r="G27" s="32"/>
      <x:c r="H27" s="32"/>
    </x:row>
    <x:row r="28">
      <x:c r="A28" s="38" t="str">
        <x:v>I. Security Context and Assets</x:v>
      </x:c>
      <x:c r="B28" s="38" t="n">
        <x:v>15</x:v>
      </x:c>
      <x:c r="C28" s="38" t="n">
        <x:f>SUM(H6:H8)</x:f>
        <x:v>0</x:v>
      </x:c>
      <x:c r="D28" s="38"/>
      <x:c r="E28" s="38" t="str">
        <x:v>Overall Score</x:v>
      </x:c>
      <x:c r="F28" s="38" t="str">
        <x:v>Decision</x:v>
      </x:c>
      <x:c r="G28" s="38"/>
      <x:c r="H28" s="38"/>
    </x:row>
    <x:row r="29">
      <x:c r="A29" s="38" t="str">
        <x:v>II. Risk, Threat, and Vulnerability Analysis</x:v>
      </x:c>
      <x:c r="B29" s="38" t="n">
        <x:v>20</x:v>
      </x:c>
      <x:c r="C29" s="38" t="n">
        <x:f>SUM(H9:H12)</x:f>
        <x:v>0</x:v>
      </x:c>
      <x:c r="D29" s="38"/>
      <x:c r="E29" s="38" t="str">
        <x:v>85–100</x:v>
      </x:c>
      <x:c r="F29" s="38" t="str">
        <x:v>Security-Ready to Proceed</x:v>
      </x:c>
      <x:c r="G29" s="38"/>
      <x:c r="H29" s="38"/>
    </x:row>
    <x:row r="30">
      <x:c r="A30" s="38" t="str">
        <x:v>III. Security Design and Controls</x:v>
      </x:c>
      <x:c r="B30" s="38" t="n">
        <x:v>25</x:v>
      </x:c>
      <x:c r="C30" s="38" t="n">
        <x:f>SUM(H13:H17)</x:f>
        <x:v>0</x:v>
      </x:c>
      <x:c r="D30" s="38"/>
      <x:c r="E30" s="38" t="str">
        <x:v>75–84</x:v>
      </x:c>
      <x:c r="F30" s="38" t="str">
        <x:v>Proceed Subject to Security Revision</x:v>
      </x:c>
      <x:c r="G30" s="38"/>
      <x:c r="H30" s="38"/>
    </x:row>
    <x:row r="31">
      <x:c r="A31" s="38" t="str">
        <x:v>IV. Assurance, Testing, and Acceptance</x:v>
      </x:c>
      <x:c r="B31" s="38" t="n">
        <x:v>20</x:v>
      </x:c>
      <x:c r="C31" s="38" t="n">
        <x:f>SUM(H18:H21)</x:f>
        <x:v>0</x:v>
      </x:c>
      <x:c r="D31" s="38"/>
      <x:c r="E31" s="38" t="str">
        <x:v>Below 75</x:v>
      </x:c>
      <x:c r="F31" s="38" t="str">
        <x:v>Not Yet Security-Ready</x:v>
      </x:c>
      <x:c r="G31" s="38"/>
      <x:c r="H31" s="38"/>
    </x:row>
    <x:row r="32">
      <x:c r="A32" s="38" t="str">
        <x:v>V. Privacy, Governance, and Resilience</x:v>
      </x:c>
      <x:c r="B32" s="38" t="n">
        <x:v>10</x:v>
      </x:c>
      <x:c r="C32" s="38" t="n">
        <x:f>SUM(H22:H23)</x:f>
        <x:v>0</x:v>
      </x:c>
      <x:c r="D32" s="38"/>
      <x:c r="E32" s="38"/>
      <x:c r="F32" s="38"/>
      <x:c r="G32" s="38"/>
      <x:c r="H32" s="38"/>
    </x:row>
    <x:row r="33">
      <x:c r="A33" s="38" t="str">
        <x:v>VI. Security Readiness and Communication</x:v>
      </x:c>
      <x:c r="B33" s="38" t="n">
        <x:v>10</x:v>
      </x:c>
      <x:c r="C33" s="38" t="n">
        <x:f>SUM(H24:H25)</x:f>
        <x:v>0</x:v>
      </x:c>
      <x:c r="D33" s="38"/>
      <x:c r="E33" s="32" t="str">
        <x:v>Critical Security Requirements</x:v>
      </x:c>
      <x:c r="F33" s="32"/>
      <x:c r="G33" s="32"/>
      <x:c r="H33" s="32"/>
    </x:row>
    <x:row r="34" ht="31" customHeight="1">
      <x:c r="A34" s="61" t="str">
        <x:v>TOTAL</x:v>
      </x:c>
      <x:c r="B34" s="61" t="n">
        <x:v>100</x:v>
      </x:c>
      <x:c r="C34" s="61" t="n">
        <x:f>SUM(C28:C33)</x:f>
        <x:v>0</x:v>
      </x:c>
      <x:c r="D34" s="38"/>
      <x:c r="E34" s="40" t="str">
        <x:v>☐ Security scope and critical assets identified
☐ Risk / threat / vulnerability assessment completed
☐ Security framework selected based on project type
☐ Web/API: OWASP Top 10, ASVS, API Security where applicable
☐ IoT: OWASP IoT, ETSI EN 303 645, or NIST IoT guidance where applicable
☐ Mobile: OWASP MASVS where applicable
☐ Network / infrastructure / cloud: NIST CSF, CIS Controls / Benchmarks, or other applicable guidance
☐ Relevant ISO/IEC 25010 security characteristics considered
☐ Security testing and measurable acceptance criteria established</x:v>
      </x:c>
      <x:c r="F34" s="40"/>
      <x:c r="G34" s="40"/>
      <x:c r="H34" s="40"/>
    </x:row>
    <x:row r="35" ht="31" customHeight="1">
      <x:c r="A35" s="38"/>
      <x:c r="B35" s="38"/>
      <x:c r="C35" s="38"/>
      <x:c r="D35" s="38"/>
      <x:c r="E35" s="40"/>
      <x:c r="F35" s="40"/>
      <x:c r="G35" s="40"/>
      <x:c r="H35" s="40"/>
    </x:row>
    <x:row r="36" ht="31" customHeight="1">
      <x:c r="A36" s="38"/>
      <x:c r="B36" s="38"/>
      <x:c r="C36" s="38"/>
      <x:c r="D36" s="38"/>
      <x:c r="E36" s="40"/>
      <x:c r="F36" s="40"/>
      <x:c r="G36" s="40"/>
      <x:c r="H36" s="40"/>
    </x:row>
    <x:row r="37" ht="31" customHeight="1">
      <x:c r="A37" s="38"/>
      <x:c r="B37" s="38"/>
      <x:c r="C37" s="38"/>
      <x:c r="D37" s="38"/>
      <x:c r="E37" s="40"/>
      <x:c r="F37" s="40"/>
      <x:c r="G37" s="40"/>
      <x:c r="H37" s="40"/>
    </x:row>
    <x:row r="38" ht="31" customHeight="1">
      <x:c r="A38" s="38"/>
      <x:c r="B38" s="38"/>
      <x:c r="C38" s="38"/>
      <x:c r="D38" s="38"/>
      <x:c r="E38" s="40"/>
      <x:c r="F38" s="40"/>
      <x:c r="G38" s="40"/>
      <x:c r="H38" s="40"/>
    </x:row>
  </x:sheetData>
  <x:mergeCells>
    <x:mergeCell ref="A1:H1"/>
    <x:mergeCell ref="A2:H2"/>
    <x:mergeCell ref="A3:H3"/>
    <x:mergeCell ref="E27:H27"/>
    <x:mergeCell ref="E33:H33"/>
    <x:mergeCell ref="E34:H38"/>
  </x:mergeCells>
  <x:dataValidations count="20">
    <x:dataValidation type="decimal" operator="between" sqref="H6">
      <x:formula1>0</x:formula1>
      <x:formula2>5</x:formula2>
    </x:dataValidation>
    <x:dataValidation type="decimal" operator="between" sqref="H7">
      <x:formula1>0</x:formula1>
      <x:formula2>5</x:formula2>
    </x:dataValidation>
    <x:dataValidation type="decimal" operator="between" sqref="H8">
      <x:formula1>0</x:formula1>
      <x:formula2>5</x:formula2>
    </x:dataValidation>
    <x:dataValidation type="decimal" operator="between" sqref="H9">
      <x:formula1>0</x:formula1>
      <x:formula2>5</x:formula2>
    </x:dataValidation>
    <x:dataValidation type="decimal" operator="between" sqref="H10">
      <x:formula1>0</x:formula1>
      <x:formula2>5</x:formula2>
    </x:dataValidation>
    <x:dataValidation type="decimal" operator="between" sqref="H11">
      <x:formula1>0</x:formula1>
      <x:formula2>5</x:formula2>
    </x:dataValidation>
    <x:dataValidation type="decimal" operator="between" sqref="H12">
      <x:formula1>0</x:formula1>
      <x:formula2>5</x:formula2>
    </x:dataValidation>
    <x:dataValidation type="decimal" operator="between" sqref="H13">
      <x:formula1>0</x:formula1>
      <x:formula2>5</x:formula2>
    </x:dataValidation>
    <x:dataValidation type="decimal" operator="between" sqref="H14">
      <x:formula1>0</x:formula1>
      <x:formula2>5</x:formula2>
    </x:dataValidation>
    <x:dataValidation type="decimal" operator="between" sqref="H15">
      <x:formula1>0</x:formula1>
      <x:formula2>5</x:formula2>
    </x:dataValidation>
    <x:dataValidation type="decimal" operator="between" sqref="H16">
      <x:formula1>0</x:formula1>
      <x:formula2>5</x:formula2>
    </x:dataValidation>
    <x:dataValidation type="decimal" operator="between" sqref="H17">
      <x:formula1>0</x:formula1>
      <x:formula2>5</x:formula2>
    </x:dataValidation>
    <x:dataValidation type="decimal" operator="between" sqref="H18">
      <x:formula1>0</x:formula1>
      <x:formula2>5</x:formula2>
    </x:dataValidation>
    <x:dataValidation type="decimal" operator="between" sqref="H19">
      <x:formula1>0</x:formula1>
      <x:formula2>5</x:formula2>
    </x:dataValidation>
    <x:dataValidation type="decimal" operator="between" sqref="H20">
      <x:formula1>0</x:formula1>
      <x:formula2>5</x:formula2>
    </x:dataValidation>
    <x:dataValidation type="decimal" operator="between" sqref="H21">
      <x:formula1>0</x:formula1>
      <x:formula2>5</x:formula2>
    </x:dataValidation>
    <x:dataValidation type="decimal" operator="between" sqref="H22">
      <x:formula1>0</x:formula1>
      <x:formula2>5</x:formula2>
    </x:dataValidation>
    <x:dataValidation type="decimal" operator="between" sqref="H23">
      <x:formula1>0</x:formula1>
      <x:formula2>5</x:formula2>
    </x:dataValidation>
    <x:dataValidation type="decimal" operator="between" sqref="H24">
      <x:formula1>0</x:formula1>
      <x:formula2>5</x:formula2>
    </x:dataValidation>
    <x:dataValidation type="decimal" operator="between" sqref="H25">
      <x:formula1>0</x:formula1>
      <x:formula2>5</x:formula2>
    </x:dataValidation>
  </x:dataValidations>
  <x:pageMargins left="0.7" right="0.7" top="0.75" bottom="0.75" header="0.3" footer="0.3"/>
</x:worksheet>
</file>